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ivate Document\HK3 2023-2024\sinhvien\"/>
    </mc:Choice>
  </mc:AlternateContent>
  <bookViews>
    <workbookView xWindow="0" yWindow="0" windowWidth="23040" windowHeight="8208"/>
  </bookViews>
  <sheets>
    <sheet name="233123032443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R20" i="1"/>
  <c r="S20" i="1"/>
  <c r="T20" i="1"/>
  <c r="Q19" i="1"/>
  <c r="R19" i="1"/>
  <c r="S19" i="1"/>
  <c r="T19" i="1"/>
  <c r="Q18" i="1"/>
  <c r="R18" i="1"/>
  <c r="S18" i="1"/>
  <c r="T18" i="1"/>
  <c r="Q17" i="1"/>
  <c r="R17" i="1"/>
  <c r="S17" i="1"/>
  <c r="T17" i="1"/>
  <c r="Q16" i="1"/>
  <c r="R16" i="1"/>
  <c r="S16" i="1"/>
  <c r="T16" i="1"/>
  <c r="Q15" i="1"/>
  <c r="R15" i="1"/>
  <c r="S15" i="1"/>
  <c r="T15" i="1"/>
  <c r="Q14" i="1"/>
  <c r="R14" i="1"/>
  <c r="S14" i="1"/>
  <c r="T14" i="1"/>
  <c r="Q13" i="1"/>
  <c r="R13" i="1"/>
  <c r="S13" i="1"/>
  <c r="T13" i="1"/>
  <c r="Q12" i="1"/>
  <c r="R12" i="1"/>
  <c r="S12" i="1"/>
  <c r="T12" i="1"/>
  <c r="Q11" i="1"/>
  <c r="R11" i="1"/>
  <c r="S11" i="1"/>
  <c r="T11" i="1"/>
  <c r="Q10" i="1"/>
  <c r="R10" i="1"/>
  <c r="S10" i="1"/>
  <c r="T10" i="1"/>
  <c r="Q9" i="1"/>
  <c r="R9" i="1"/>
  <c r="S9" i="1"/>
  <c r="T9" i="1"/>
  <c r="Q8" i="1"/>
  <c r="R8" i="1"/>
  <c r="S8" i="1"/>
  <c r="T8" i="1"/>
  <c r="Q7" i="1"/>
  <c r="R7" i="1"/>
  <c r="S7" i="1"/>
  <c r="T7" i="1"/>
  <c r="Q6" i="1"/>
  <c r="R6" i="1"/>
  <c r="S6" i="1"/>
  <c r="T6" i="1"/>
  <c r="Q5" i="1"/>
  <c r="R5" i="1"/>
  <c r="S5" i="1"/>
  <c r="T5" i="1"/>
  <c r="Q4" i="1"/>
  <c r="R4" i="1"/>
  <c r="S4" i="1"/>
  <c r="T4" i="1"/>
  <c r="Q3" i="1"/>
  <c r="R3" i="1"/>
  <c r="S3" i="1"/>
  <c r="T3" i="1"/>
</calcChain>
</file>

<file path=xl/comments1.xml><?xml version="1.0" encoding="utf-8"?>
<comments xmlns="http://schemas.openxmlformats.org/spreadsheetml/2006/main">
  <authors>
    <author>nguyen hanh</author>
  </authors>
  <commentList>
    <comment ref="K19" authorId="0" shapeId="0">
      <text>
        <r>
          <rPr>
            <b/>
            <sz val="9"/>
            <color indexed="81"/>
            <rFont val="Tahoma"/>
            <charset val="1"/>
          </rPr>
          <t>nguyen hanh:</t>
        </r>
        <r>
          <rPr>
            <sz val="9"/>
            <color indexed="81"/>
            <rFont val="Tahoma"/>
            <charset val="1"/>
          </rPr>
          <t xml:space="preserve">
sv sử dụng ChatGPT, không hiểu bài, không có tinh thần học tập</t>
        </r>
      </text>
    </comment>
  </commentList>
</comments>
</file>

<file path=xl/sharedStrings.xml><?xml version="1.0" encoding="utf-8"?>
<sst xmlns="http://schemas.openxmlformats.org/spreadsheetml/2006/main" count="316" uniqueCount="115">
  <si>
    <t>Điểm đến lớp</t>
  </si>
  <si>
    <t>Điểm cộng</t>
  </si>
  <si>
    <t>Điểm KT</t>
  </si>
  <si>
    <t>TBC</t>
  </si>
  <si>
    <t>STT</t>
  </si>
  <si>
    <t>Mã SV</t>
  </si>
  <si>
    <t>Họ lót</t>
  </si>
  <si>
    <t>Tên</t>
  </si>
  <si>
    <t>Ngày sinh</t>
  </si>
  <si>
    <t>Giới tính</t>
  </si>
  <si>
    <t>13/05/2024</t>
  </si>
  <si>
    <t>20/05/2024</t>
  </si>
  <si>
    <t>27/05/2024</t>
  </si>
  <si>
    <t>03/06/2024</t>
  </si>
  <si>
    <t>10/06/2024</t>
  </si>
  <si>
    <t>17/06/2024</t>
  </si>
  <si>
    <t>24/06/2024</t>
  </si>
  <si>
    <t>01/07/2024</t>
  </si>
  <si>
    <t>08/07/2024</t>
  </si>
  <si>
    <t>15/07/2024</t>
  </si>
  <si>
    <t>30%</t>
  </si>
  <si>
    <t>10%</t>
  </si>
  <si>
    <t>60%</t>
  </si>
  <si>
    <t>1</t>
  </si>
  <si>
    <t>22DH110457</t>
  </si>
  <si>
    <t>Lê Quốc</t>
  </si>
  <si>
    <t>Cường</t>
  </si>
  <si>
    <t>06/03/2004</t>
  </si>
  <si>
    <t>Nam</t>
  </si>
  <si>
    <t>+</t>
  </si>
  <si>
    <t>2</t>
  </si>
  <si>
    <t>22DH110667</t>
  </si>
  <si>
    <t>Nguyễn Bảo</t>
  </si>
  <si>
    <t>Đan</t>
  </si>
  <si>
    <t>11/09/2004</t>
  </si>
  <si>
    <t>v</t>
  </si>
  <si>
    <t/>
  </si>
  <si>
    <t>3</t>
  </si>
  <si>
    <t>22DH110696</t>
  </si>
  <si>
    <t>Đặng Tấn</t>
  </si>
  <si>
    <t>Đạt</t>
  </si>
  <si>
    <t>22/03/2004</t>
  </si>
  <si>
    <t>4</t>
  </si>
  <si>
    <t>22DH110708</t>
  </si>
  <si>
    <t>Huỳnh Tấn</t>
  </si>
  <si>
    <t>12/02/2004</t>
  </si>
  <si>
    <t>5</t>
  </si>
  <si>
    <t>22DH110904</t>
  </si>
  <si>
    <t>Hồ Sơn</t>
  </si>
  <si>
    <t>Hào</t>
  </si>
  <si>
    <t>23/05/2004</t>
  </si>
  <si>
    <t>6</t>
  </si>
  <si>
    <t>22DH111598</t>
  </si>
  <si>
    <t>Nguyễn Ngọc Nam</t>
  </si>
  <si>
    <t>Khánh</t>
  </si>
  <si>
    <t>06/10/2004</t>
  </si>
  <si>
    <t>Nữ</t>
  </si>
  <si>
    <t>7</t>
  </si>
  <si>
    <t>22DH111731</t>
  </si>
  <si>
    <t>Huỳnh Minh</t>
  </si>
  <si>
    <t>Khôi</t>
  </si>
  <si>
    <t>15/10/2004</t>
  </si>
  <si>
    <t>8</t>
  </si>
  <si>
    <t>20DH110204</t>
  </si>
  <si>
    <t>Nguyễn Tuấn</t>
  </si>
  <si>
    <t>Kiệt</t>
  </si>
  <si>
    <t>19/11/2002</t>
  </si>
  <si>
    <t>9</t>
  </si>
  <si>
    <t>22DH111902</t>
  </si>
  <si>
    <t>Nguyễn Tùng</t>
  </si>
  <si>
    <t>Lâm</t>
  </si>
  <si>
    <t>03/10/2004</t>
  </si>
  <si>
    <t>10</t>
  </si>
  <si>
    <t>22DH113023</t>
  </si>
  <si>
    <t>Hồ Chí</t>
  </si>
  <si>
    <t>Quốc</t>
  </si>
  <si>
    <t>13/01/2004</t>
  </si>
  <si>
    <t>11</t>
  </si>
  <si>
    <t>22DH114720</t>
  </si>
  <si>
    <t>Nguyễn Đức</t>
  </si>
  <si>
    <t>Tài</t>
  </si>
  <si>
    <t>30/12/2004</t>
  </si>
  <si>
    <t>12</t>
  </si>
  <si>
    <t>22DH113189</t>
  </si>
  <si>
    <t>Nguyễn Việt</t>
  </si>
  <si>
    <t>30/07/2004</t>
  </si>
  <si>
    <t>13</t>
  </si>
  <si>
    <t>22DH113566</t>
  </si>
  <si>
    <t>Hứa Nguyên</t>
  </si>
  <si>
    <t>Thuận</t>
  </si>
  <si>
    <t>11/12/2003</t>
  </si>
  <si>
    <t>14</t>
  </si>
  <si>
    <t>22DH113906</t>
  </si>
  <si>
    <t>Trí</t>
  </si>
  <si>
    <t>09/07/2004</t>
  </si>
  <si>
    <t>15</t>
  </si>
  <si>
    <t>20DH110562</t>
  </si>
  <si>
    <t>Nguyễn Tiến</t>
  </si>
  <si>
    <t>Trung</t>
  </si>
  <si>
    <t>10/11/2001</t>
  </si>
  <si>
    <t>16</t>
  </si>
  <si>
    <t>22DH114061</t>
  </si>
  <si>
    <t>Mai Thái</t>
  </si>
  <si>
    <t>Tuấn</t>
  </si>
  <si>
    <t>09/12/2004</t>
  </si>
  <si>
    <t>17</t>
  </si>
  <si>
    <t>21DH112233</t>
  </si>
  <si>
    <t>Phan Đình</t>
  </si>
  <si>
    <t>Vỹ</t>
  </si>
  <si>
    <t>17/02/2003</t>
  </si>
  <si>
    <t>18</t>
  </si>
  <si>
    <t>20DH112198</t>
  </si>
  <si>
    <t>Lê Châu Bảo</t>
  </si>
  <si>
    <t>Yến</t>
  </si>
  <si>
    <t>01/01/2002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</si>
</sst>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0" fillId="2" borderId="0" xfId="0" applyNumberFormat="1" applyFill="1" applyAlignment="1">
      <alignment wrapText="1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Fill="1"/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1" xfId="0" applyBorder="1"/>
    <xf numFmtId="49" fontId="0" fillId="0" borderId="1" xfId="0" quotePrefix="1" applyNumberFormat="1" applyFill="1" applyBorder="1"/>
    <xf numFmtId="49" fontId="0" fillId="2" borderId="1" xfId="0" quotePrefix="1" applyNumberFormat="1" applyFill="1" applyBorder="1"/>
    <xf numFmtId="49" fontId="0" fillId="3" borderId="1" xfId="0" applyNumberFormat="1" applyFill="1" applyBorder="1"/>
    <xf numFmtId="49" fontId="0" fillId="3" borderId="1" xfId="0" quotePrefix="1" applyNumberFormat="1" applyFill="1" applyBorder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0"/>
  <sheetViews>
    <sheetView tabSelected="1" topLeftCell="C1" workbookViewId="0">
      <selection activeCell="K23" sqref="K23"/>
    </sheetView>
  </sheetViews>
  <sheetFormatPr defaultRowHeight="14.4" x14ac:dyDescent="0.3"/>
  <cols>
    <col min="1" max="1" width="3.88671875" style="1" bestFit="1" customWidth="1"/>
    <col min="2" max="2" width="11.44140625" style="1" bestFit="1" customWidth="1"/>
    <col min="3" max="3" width="15.88671875" style="1" bestFit="1" customWidth="1"/>
    <col min="4" max="4" width="6.33203125" style="1" bestFit="1" customWidth="1"/>
    <col min="5" max="5" width="10.5546875" style="1" bestFit="1" customWidth="1"/>
    <col min="6" max="6" width="8.21875" style="1" bestFit="1" customWidth="1"/>
    <col min="7" max="16" width="10.6640625" style="1" bestFit="1" customWidth="1"/>
    <col min="17" max="16384" width="8.88671875" style="1"/>
  </cols>
  <sheetData>
    <row r="1" spans="1:21" ht="28.8" x14ac:dyDescent="0.3">
      <c r="Q1" s="2" t="s">
        <v>0</v>
      </c>
      <c r="R1" s="2" t="s">
        <v>1</v>
      </c>
      <c r="S1" s="2" t="s">
        <v>2</v>
      </c>
      <c r="T1" s="2" t="s">
        <v>3</v>
      </c>
      <c r="U1" s="3" t="s">
        <v>2</v>
      </c>
    </row>
    <row r="2" spans="1:21" x14ac:dyDescent="0.3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5" t="s">
        <v>20</v>
      </c>
      <c r="R2" s="5" t="s">
        <v>21</v>
      </c>
      <c r="S2" s="5" t="s">
        <v>22</v>
      </c>
      <c r="T2" s="5"/>
      <c r="U2" s="6"/>
    </row>
    <row r="3" spans="1:21" x14ac:dyDescent="0.3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8" t="s">
        <v>29</v>
      </c>
      <c r="H3" s="8" t="s">
        <v>29</v>
      </c>
      <c r="I3" s="8" t="s">
        <v>29</v>
      </c>
      <c r="J3" s="8" t="s">
        <v>29</v>
      </c>
      <c r="K3" s="8" t="s">
        <v>29</v>
      </c>
      <c r="L3" s="8" t="s">
        <v>29</v>
      </c>
      <c r="M3" s="8" t="s">
        <v>29</v>
      </c>
      <c r="N3" s="8" t="s">
        <v>29</v>
      </c>
      <c r="O3" s="8" t="s">
        <v>29</v>
      </c>
      <c r="P3" s="8" t="s">
        <v>29</v>
      </c>
      <c r="Q3">
        <f>(COUNTIF(G3:P3,"+")+COUNTIF(G3:P3,""))*0.3</f>
        <v>3</v>
      </c>
      <c r="R3" s="9">
        <f>(COUNTIF(G3:P3,"+")*0.1)</f>
        <v>1</v>
      </c>
      <c r="S3" s="9">
        <f>0.6*U3</f>
        <v>6</v>
      </c>
      <c r="T3" s="9">
        <f>SUM(Q3:S3)</f>
        <v>10</v>
      </c>
      <c r="U3">
        <v>10</v>
      </c>
    </row>
    <row r="4" spans="1:21" x14ac:dyDescent="0.3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28</v>
      </c>
      <c r="G4" s="7" t="s">
        <v>35</v>
      </c>
      <c r="H4" s="8" t="s">
        <v>29</v>
      </c>
      <c r="I4" s="7" t="s">
        <v>35</v>
      </c>
      <c r="J4" s="7" t="s">
        <v>35</v>
      </c>
      <c r="K4" s="8" t="s">
        <v>29</v>
      </c>
      <c r="L4" s="8" t="s">
        <v>29</v>
      </c>
      <c r="M4" s="8" t="s">
        <v>29</v>
      </c>
      <c r="N4" s="8" t="s">
        <v>29</v>
      </c>
      <c r="O4" s="7" t="s">
        <v>36</v>
      </c>
      <c r="P4" s="8" t="s">
        <v>29</v>
      </c>
      <c r="Q4">
        <f t="shared" ref="Q4:Q20" si="0">(COUNTIF(G4:P4,"+")+COUNTIF(G4:P4,""))*0.3</f>
        <v>2.1</v>
      </c>
      <c r="R4" s="9">
        <f t="shared" ref="R4:R20" si="1">(COUNTIF(G4:P4,"+")*0.1)</f>
        <v>0.60000000000000009</v>
      </c>
      <c r="S4" s="9">
        <f t="shared" ref="S4:S20" si="2">0.6*U4</f>
        <v>3</v>
      </c>
      <c r="T4" s="9">
        <f t="shared" ref="T4:T20" si="3">SUM(Q4:S4)</f>
        <v>5.7</v>
      </c>
      <c r="U4">
        <v>5</v>
      </c>
    </row>
    <row r="5" spans="1:21" x14ac:dyDescent="0.3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28</v>
      </c>
      <c r="G5" s="8" t="s">
        <v>29</v>
      </c>
      <c r="H5" s="8" t="s">
        <v>29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35</v>
      </c>
      <c r="N5" s="7" t="s">
        <v>35</v>
      </c>
      <c r="O5" s="7" t="s">
        <v>35</v>
      </c>
      <c r="P5" s="7" t="s">
        <v>35</v>
      </c>
      <c r="Q5">
        <f t="shared" si="0"/>
        <v>0.6</v>
      </c>
      <c r="R5" s="9">
        <f t="shared" si="1"/>
        <v>0.2</v>
      </c>
      <c r="S5" s="9" t="e">
        <f t="shared" si="2"/>
        <v>#VALUE!</v>
      </c>
      <c r="T5" s="9" t="e">
        <f t="shared" si="3"/>
        <v>#VALUE!</v>
      </c>
      <c r="U5" t="s">
        <v>35</v>
      </c>
    </row>
    <row r="6" spans="1:21" x14ac:dyDescent="0.3">
      <c r="A6" s="7" t="s">
        <v>42</v>
      </c>
      <c r="B6" s="7" t="s">
        <v>43</v>
      </c>
      <c r="C6" s="7" t="s">
        <v>44</v>
      </c>
      <c r="D6" s="7" t="s">
        <v>40</v>
      </c>
      <c r="E6" s="7" t="s">
        <v>45</v>
      </c>
      <c r="F6" s="7" t="s">
        <v>28</v>
      </c>
      <c r="G6" s="8" t="s">
        <v>29</v>
      </c>
      <c r="H6" s="8" t="s">
        <v>29</v>
      </c>
      <c r="I6" s="7" t="s">
        <v>35</v>
      </c>
      <c r="J6" s="7" t="s">
        <v>35</v>
      </c>
      <c r="K6" s="8" t="s">
        <v>29</v>
      </c>
      <c r="L6" s="7" t="s">
        <v>35</v>
      </c>
      <c r="M6" s="7" t="s">
        <v>35</v>
      </c>
      <c r="N6" s="7" t="s">
        <v>35</v>
      </c>
      <c r="O6" s="7" t="s">
        <v>35</v>
      </c>
      <c r="P6" s="7" t="s">
        <v>35</v>
      </c>
      <c r="Q6">
        <f t="shared" si="0"/>
        <v>0.89999999999999991</v>
      </c>
      <c r="R6" s="9">
        <f t="shared" si="1"/>
        <v>0.30000000000000004</v>
      </c>
      <c r="S6" s="9" t="e">
        <f t="shared" si="2"/>
        <v>#VALUE!</v>
      </c>
      <c r="T6" s="9" t="e">
        <f t="shared" si="3"/>
        <v>#VALUE!</v>
      </c>
      <c r="U6" t="s">
        <v>35</v>
      </c>
    </row>
    <row r="7" spans="1:21" x14ac:dyDescent="0.3">
      <c r="A7" s="7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28</v>
      </c>
      <c r="G7" s="8" t="s">
        <v>29</v>
      </c>
      <c r="H7" s="8" t="s">
        <v>29</v>
      </c>
      <c r="I7" s="8" t="s">
        <v>29</v>
      </c>
      <c r="J7" s="8" t="s">
        <v>29</v>
      </c>
      <c r="K7" s="8" t="s">
        <v>29</v>
      </c>
      <c r="L7" s="8" t="s">
        <v>29</v>
      </c>
      <c r="M7" s="7" t="s">
        <v>35</v>
      </c>
      <c r="N7" s="7" t="s">
        <v>36</v>
      </c>
      <c r="O7" s="8" t="s">
        <v>29</v>
      </c>
      <c r="P7" s="7" t="s">
        <v>35</v>
      </c>
      <c r="Q7">
        <f t="shared" si="0"/>
        <v>2.4</v>
      </c>
      <c r="R7" s="9">
        <f t="shared" si="1"/>
        <v>0.70000000000000007</v>
      </c>
      <c r="S7" s="9" t="e">
        <f t="shared" si="2"/>
        <v>#VALUE!</v>
      </c>
      <c r="T7" s="9" t="e">
        <f t="shared" si="3"/>
        <v>#VALUE!</v>
      </c>
      <c r="U7" t="s">
        <v>35</v>
      </c>
    </row>
    <row r="8" spans="1:21" x14ac:dyDescent="0.3">
      <c r="A8" s="7" t="s">
        <v>51</v>
      </c>
      <c r="B8" s="7" t="s">
        <v>52</v>
      </c>
      <c r="C8" s="7" t="s">
        <v>53</v>
      </c>
      <c r="D8" s="7" t="s">
        <v>54</v>
      </c>
      <c r="E8" s="7" t="s">
        <v>55</v>
      </c>
      <c r="F8" s="7" t="s">
        <v>56</v>
      </c>
      <c r="G8" s="8" t="s">
        <v>29</v>
      </c>
      <c r="H8" s="7" t="s">
        <v>35</v>
      </c>
      <c r="I8" s="8" t="s">
        <v>29</v>
      </c>
      <c r="J8" s="8" t="s">
        <v>29</v>
      </c>
      <c r="K8" s="10" t="s">
        <v>29</v>
      </c>
      <c r="L8" s="7" t="s">
        <v>35</v>
      </c>
      <c r="M8" s="8" t="s">
        <v>29</v>
      </c>
      <c r="N8" s="7" t="s">
        <v>35</v>
      </c>
      <c r="O8" s="7" t="s">
        <v>35</v>
      </c>
      <c r="P8" s="7" t="s">
        <v>35</v>
      </c>
      <c r="Q8">
        <f t="shared" si="0"/>
        <v>1.5</v>
      </c>
      <c r="R8" s="9">
        <f t="shared" si="1"/>
        <v>0.5</v>
      </c>
      <c r="S8" s="9" t="e">
        <f t="shared" si="2"/>
        <v>#VALUE!</v>
      </c>
      <c r="T8" s="9" t="e">
        <f t="shared" si="3"/>
        <v>#VALUE!</v>
      </c>
      <c r="U8" t="s">
        <v>35</v>
      </c>
    </row>
    <row r="9" spans="1:21" x14ac:dyDescent="0.3">
      <c r="A9" s="7" t="s">
        <v>57</v>
      </c>
      <c r="B9" s="7" t="s">
        <v>58</v>
      </c>
      <c r="C9" s="7" t="s">
        <v>59</v>
      </c>
      <c r="D9" s="7" t="s">
        <v>60</v>
      </c>
      <c r="E9" s="7" t="s">
        <v>61</v>
      </c>
      <c r="F9" s="7" t="s">
        <v>28</v>
      </c>
      <c r="G9" s="8" t="s">
        <v>29</v>
      </c>
      <c r="H9" s="8" t="s">
        <v>29</v>
      </c>
      <c r="I9" s="8" t="s">
        <v>29</v>
      </c>
      <c r="J9" s="8" t="s">
        <v>29</v>
      </c>
      <c r="K9" s="8" t="s">
        <v>29</v>
      </c>
      <c r="L9" s="8" t="s">
        <v>29</v>
      </c>
      <c r="M9" s="8" t="s">
        <v>29</v>
      </c>
      <c r="N9" s="7" t="s">
        <v>36</v>
      </c>
      <c r="O9" s="8" t="s">
        <v>29</v>
      </c>
      <c r="P9" s="8" t="s">
        <v>29</v>
      </c>
      <c r="Q9">
        <f t="shared" si="0"/>
        <v>3</v>
      </c>
      <c r="R9" s="9">
        <f t="shared" si="1"/>
        <v>0.9</v>
      </c>
      <c r="S9" s="9">
        <f t="shared" si="2"/>
        <v>4.2</v>
      </c>
      <c r="T9" s="9">
        <f t="shared" si="3"/>
        <v>8.1</v>
      </c>
      <c r="U9">
        <v>7</v>
      </c>
    </row>
    <row r="10" spans="1:21" x14ac:dyDescent="0.3">
      <c r="A10" s="7" t="s">
        <v>62</v>
      </c>
      <c r="B10" s="7" t="s">
        <v>63</v>
      </c>
      <c r="C10" s="7" t="s">
        <v>64</v>
      </c>
      <c r="D10" s="7" t="s">
        <v>65</v>
      </c>
      <c r="E10" s="7" t="s">
        <v>66</v>
      </c>
      <c r="F10" s="7" t="s">
        <v>28</v>
      </c>
      <c r="G10" s="8" t="s">
        <v>29</v>
      </c>
      <c r="H10" s="8" t="s">
        <v>29</v>
      </c>
      <c r="I10" s="8" t="s">
        <v>29</v>
      </c>
      <c r="J10" s="8" t="s">
        <v>29</v>
      </c>
      <c r="K10" s="8" t="s">
        <v>29</v>
      </c>
      <c r="L10" s="8" t="s">
        <v>29</v>
      </c>
      <c r="M10" s="8" t="s">
        <v>29</v>
      </c>
      <c r="N10" s="8" t="s">
        <v>29</v>
      </c>
      <c r="O10" s="8" t="s">
        <v>29</v>
      </c>
      <c r="P10" s="8" t="s">
        <v>29</v>
      </c>
      <c r="Q10">
        <f t="shared" si="0"/>
        <v>3</v>
      </c>
      <c r="R10" s="9">
        <f t="shared" si="1"/>
        <v>1</v>
      </c>
      <c r="S10" s="9">
        <f t="shared" si="2"/>
        <v>6</v>
      </c>
      <c r="T10" s="9">
        <f t="shared" si="3"/>
        <v>10</v>
      </c>
      <c r="U10">
        <v>10</v>
      </c>
    </row>
    <row r="11" spans="1:21" x14ac:dyDescent="0.3">
      <c r="A11" s="7" t="s">
        <v>67</v>
      </c>
      <c r="B11" s="7" t="s">
        <v>68</v>
      </c>
      <c r="C11" s="7" t="s">
        <v>69</v>
      </c>
      <c r="D11" s="7" t="s">
        <v>70</v>
      </c>
      <c r="E11" s="7" t="s">
        <v>71</v>
      </c>
      <c r="F11" s="7" t="s">
        <v>28</v>
      </c>
      <c r="G11" s="8" t="s">
        <v>29</v>
      </c>
      <c r="H11" s="8" t="s">
        <v>29</v>
      </c>
      <c r="I11" s="8" t="s">
        <v>29</v>
      </c>
      <c r="J11" s="8" t="s">
        <v>29</v>
      </c>
      <c r="K11" s="8" t="s">
        <v>29</v>
      </c>
      <c r="L11" s="8" t="s">
        <v>29</v>
      </c>
      <c r="M11" s="8" t="s">
        <v>29</v>
      </c>
      <c r="N11" s="7" t="s">
        <v>36</v>
      </c>
      <c r="O11" s="7" t="s">
        <v>36</v>
      </c>
      <c r="P11" s="8" t="s">
        <v>29</v>
      </c>
      <c r="Q11">
        <f t="shared" si="0"/>
        <v>3</v>
      </c>
      <c r="R11" s="9">
        <f t="shared" si="1"/>
        <v>0.8</v>
      </c>
      <c r="S11" s="9">
        <f t="shared" si="2"/>
        <v>3</v>
      </c>
      <c r="T11" s="9">
        <f t="shared" si="3"/>
        <v>6.8</v>
      </c>
      <c r="U11">
        <v>5</v>
      </c>
    </row>
    <row r="12" spans="1:21" x14ac:dyDescent="0.3">
      <c r="A12" s="7" t="s">
        <v>72</v>
      </c>
      <c r="B12" s="7" t="s">
        <v>73</v>
      </c>
      <c r="C12" s="7" t="s">
        <v>74</v>
      </c>
      <c r="D12" s="7" t="s">
        <v>75</v>
      </c>
      <c r="E12" s="7" t="s">
        <v>76</v>
      </c>
      <c r="F12" s="7" t="s">
        <v>28</v>
      </c>
      <c r="G12" s="11" t="s">
        <v>29</v>
      </c>
      <c r="H12" s="8" t="s">
        <v>29</v>
      </c>
      <c r="I12" s="8" t="s">
        <v>29</v>
      </c>
      <c r="J12" s="8" t="s">
        <v>29</v>
      </c>
      <c r="K12" s="8" t="s">
        <v>29</v>
      </c>
      <c r="L12" s="8" t="s">
        <v>29</v>
      </c>
      <c r="M12" s="8" t="s">
        <v>29</v>
      </c>
      <c r="N12" s="7" t="s">
        <v>35</v>
      </c>
      <c r="O12" s="7" t="s">
        <v>36</v>
      </c>
      <c r="P12" s="8" t="s">
        <v>29</v>
      </c>
      <c r="Q12">
        <f t="shared" si="0"/>
        <v>2.6999999999999997</v>
      </c>
      <c r="R12" s="9">
        <f t="shared" si="1"/>
        <v>0.8</v>
      </c>
      <c r="S12" s="9">
        <f t="shared" si="2"/>
        <v>4.2</v>
      </c>
      <c r="T12" s="9">
        <f t="shared" si="3"/>
        <v>7.7</v>
      </c>
      <c r="U12">
        <v>7</v>
      </c>
    </row>
    <row r="13" spans="1:21" x14ac:dyDescent="0.3">
      <c r="A13" s="7" t="s">
        <v>77</v>
      </c>
      <c r="B13" s="7" t="s">
        <v>78</v>
      </c>
      <c r="C13" s="7" t="s">
        <v>79</v>
      </c>
      <c r="D13" s="7" t="s">
        <v>80</v>
      </c>
      <c r="E13" s="7" t="s">
        <v>81</v>
      </c>
      <c r="F13" s="7" t="s">
        <v>28</v>
      </c>
      <c r="G13" s="8" t="s">
        <v>29</v>
      </c>
      <c r="H13" s="8" t="s">
        <v>29</v>
      </c>
      <c r="I13" s="8" t="s">
        <v>29</v>
      </c>
      <c r="J13" s="7" t="s">
        <v>36</v>
      </c>
      <c r="K13" s="8" t="s">
        <v>29</v>
      </c>
      <c r="L13" s="8" t="s">
        <v>29</v>
      </c>
      <c r="M13" s="8" t="s">
        <v>29</v>
      </c>
      <c r="N13" s="7" t="s">
        <v>36</v>
      </c>
      <c r="O13" s="7" t="s">
        <v>36</v>
      </c>
      <c r="P13" s="8" t="s">
        <v>29</v>
      </c>
      <c r="Q13">
        <f t="shared" si="0"/>
        <v>3</v>
      </c>
      <c r="R13" s="9">
        <f t="shared" si="1"/>
        <v>0.70000000000000007</v>
      </c>
      <c r="S13" s="9">
        <f t="shared" si="2"/>
        <v>2.4</v>
      </c>
      <c r="T13" s="9">
        <f t="shared" si="3"/>
        <v>6.1</v>
      </c>
      <c r="U13">
        <v>4</v>
      </c>
    </row>
    <row r="14" spans="1:21" x14ac:dyDescent="0.3">
      <c r="A14" s="7" t="s">
        <v>82</v>
      </c>
      <c r="B14" s="7" t="s">
        <v>83</v>
      </c>
      <c r="C14" s="7" t="s">
        <v>84</v>
      </c>
      <c r="D14" s="7" t="s">
        <v>80</v>
      </c>
      <c r="E14" s="7" t="s">
        <v>85</v>
      </c>
      <c r="F14" s="7" t="s">
        <v>28</v>
      </c>
      <c r="G14" s="11" t="s">
        <v>29</v>
      </c>
      <c r="H14" s="8" t="s">
        <v>29</v>
      </c>
      <c r="I14" s="8" t="s">
        <v>29</v>
      </c>
      <c r="J14" s="8" t="s">
        <v>29</v>
      </c>
      <c r="K14" s="8" t="s">
        <v>29</v>
      </c>
      <c r="L14" s="8" t="s">
        <v>29</v>
      </c>
      <c r="M14" s="8" t="s">
        <v>29</v>
      </c>
      <c r="N14" s="7" t="s">
        <v>36</v>
      </c>
      <c r="O14" s="7" t="s">
        <v>36</v>
      </c>
      <c r="P14" s="8" t="s">
        <v>35</v>
      </c>
      <c r="Q14">
        <f t="shared" si="0"/>
        <v>2.6999999999999997</v>
      </c>
      <c r="R14" s="9">
        <f t="shared" si="1"/>
        <v>0.70000000000000007</v>
      </c>
      <c r="S14" s="9" t="e">
        <f t="shared" si="2"/>
        <v>#VALUE!</v>
      </c>
      <c r="T14" s="9" t="e">
        <f t="shared" si="3"/>
        <v>#VALUE!</v>
      </c>
      <c r="U14" t="s">
        <v>35</v>
      </c>
    </row>
    <row r="15" spans="1:21" x14ac:dyDescent="0.3">
      <c r="A15" s="7" t="s">
        <v>86</v>
      </c>
      <c r="B15" s="7" t="s">
        <v>87</v>
      </c>
      <c r="C15" s="7" t="s">
        <v>88</v>
      </c>
      <c r="D15" s="7" t="s">
        <v>89</v>
      </c>
      <c r="E15" s="7" t="s">
        <v>90</v>
      </c>
      <c r="F15" s="7" t="s">
        <v>28</v>
      </c>
      <c r="G15" s="8" t="s">
        <v>29</v>
      </c>
      <c r="H15" s="8" t="s">
        <v>29</v>
      </c>
      <c r="I15" s="8" t="s">
        <v>29</v>
      </c>
      <c r="J15" s="8" t="s">
        <v>29</v>
      </c>
      <c r="K15" s="8" t="s">
        <v>29</v>
      </c>
      <c r="L15" s="7" t="s">
        <v>35</v>
      </c>
      <c r="M15" s="8" t="s">
        <v>29</v>
      </c>
      <c r="N15" s="7" t="s">
        <v>35</v>
      </c>
      <c r="O15" s="7" t="s">
        <v>35</v>
      </c>
      <c r="P15" s="7" t="s">
        <v>35</v>
      </c>
      <c r="Q15">
        <f t="shared" si="0"/>
        <v>1.7999999999999998</v>
      </c>
      <c r="R15" s="9">
        <f t="shared" si="1"/>
        <v>0.60000000000000009</v>
      </c>
      <c r="S15" s="9" t="e">
        <f t="shared" si="2"/>
        <v>#VALUE!</v>
      </c>
      <c r="T15" s="9" t="e">
        <f t="shared" si="3"/>
        <v>#VALUE!</v>
      </c>
      <c r="U15" t="s">
        <v>35</v>
      </c>
    </row>
    <row r="16" spans="1:21" x14ac:dyDescent="0.3">
      <c r="A16" s="7" t="s">
        <v>91</v>
      </c>
      <c r="B16" s="7" t="s">
        <v>92</v>
      </c>
      <c r="C16" s="7" t="s">
        <v>79</v>
      </c>
      <c r="D16" s="7" t="s">
        <v>93</v>
      </c>
      <c r="E16" s="7" t="s">
        <v>94</v>
      </c>
      <c r="F16" s="7" t="s">
        <v>28</v>
      </c>
      <c r="G16" s="7" t="s">
        <v>35</v>
      </c>
      <c r="H16" s="8" t="s">
        <v>29</v>
      </c>
      <c r="I16" s="8" t="s">
        <v>29</v>
      </c>
      <c r="J16" s="7" t="s">
        <v>35</v>
      </c>
      <c r="K16" s="8" t="s">
        <v>29</v>
      </c>
      <c r="L16" s="8" t="s">
        <v>29</v>
      </c>
      <c r="M16" s="8" t="s">
        <v>29</v>
      </c>
      <c r="N16" s="8" t="s">
        <v>29</v>
      </c>
      <c r="O16" s="8" t="s">
        <v>29</v>
      </c>
      <c r="P16" s="8" t="s">
        <v>29</v>
      </c>
      <c r="Q16">
        <f t="shared" si="0"/>
        <v>2.4</v>
      </c>
      <c r="R16" s="9">
        <f t="shared" si="1"/>
        <v>0.8</v>
      </c>
      <c r="S16" s="9">
        <f t="shared" si="2"/>
        <v>6</v>
      </c>
      <c r="T16" s="9">
        <f t="shared" si="3"/>
        <v>9.1999999999999993</v>
      </c>
      <c r="U16">
        <v>10</v>
      </c>
    </row>
    <row r="17" spans="1:21" x14ac:dyDescent="0.3">
      <c r="A17" s="7" t="s">
        <v>95</v>
      </c>
      <c r="B17" s="7" t="s">
        <v>96</v>
      </c>
      <c r="C17" s="7" t="s">
        <v>97</v>
      </c>
      <c r="D17" s="7" t="s">
        <v>98</v>
      </c>
      <c r="E17" s="7" t="s">
        <v>99</v>
      </c>
      <c r="F17" s="7" t="s">
        <v>28</v>
      </c>
      <c r="G17" s="7" t="s">
        <v>35</v>
      </c>
      <c r="H17" s="7" t="s">
        <v>35</v>
      </c>
      <c r="I17" s="7" t="s">
        <v>35</v>
      </c>
      <c r="J17" s="7" t="s">
        <v>35</v>
      </c>
      <c r="K17" s="7" t="s">
        <v>35</v>
      </c>
      <c r="L17" s="7" t="s">
        <v>36</v>
      </c>
      <c r="M17" s="7" t="s">
        <v>35</v>
      </c>
      <c r="N17" s="7" t="s">
        <v>35</v>
      </c>
      <c r="O17" s="7" t="s">
        <v>35</v>
      </c>
      <c r="P17" s="7" t="s">
        <v>35</v>
      </c>
      <c r="Q17">
        <f t="shared" si="0"/>
        <v>0.3</v>
      </c>
      <c r="R17" s="9">
        <f t="shared" si="1"/>
        <v>0</v>
      </c>
      <c r="S17" s="9" t="e">
        <f t="shared" si="2"/>
        <v>#VALUE!</v>
      </c>
      <c r="T17" s="9" t="e">
        <f t="shared" si="3"/>
        <v>#VALUE!</v>
      </c>
      <c r="U17" t="s">
        <v>35</v>
      </c>
    </row>
    <row r="18" spans="1:21" x14ac:dyDescent="0.3">
      <c r="A18" s="7" t="s">
        <v>100</v>
      </c>
      <c r="B18" s="7" t="s">
        <v>101</v>
      </c>
      <c r="C18" s="7" t="s">
        <v>102</v>
      </c>
      <c r="D18" s="7" t="s">
        <v>103</v>
      </c>
      <c r="E18" s="7" t="s">
        <v>104</v>
      </c>
      <c r="F18" s="7" t="s">
        <v>28</v>
      </c>
      <c r="G18" s="8" t="s">
        <v>29</v>
      </c>
      <c r="H18" s="8" t="s">
        <v>29</v>
      </c>
      <c r="I18" s="8" t="s">
        <v>29</v>
      </c>
      <c r="J18" s="8" t="s">
        <v>29</v>
      </c>
      <c r="K18" s="8" t="s">
        <v>29</v>
      </c>
      <c r="L18" s="8" t="s">
        <v>29</v>
      </c>
      <c r="M18" s="8" t="s">
        <v>29</v>
      </c>
      <c r="N18" s="8" t="s">
        <v>29</v>
      </c>
      <c r="O18" s="8" t="s">
        <v>29</v>
      </c>
      <c r="P18" s="8" t="s">
        <v>29</v>
      </c>
      <c r="Q18">
        <f t="shared" si="0"/>
        <v>3</v>
      </c>
      <c r="R18" s="9">
        <f t="shared" si="1"/>
        <v>1</v>
      </c>
      <c r="S18" s="9">
        <f t="shared" si="2"/>
        <v>1.7999999999999998</v>
      </c>
      <c r="T18" s="9">
        <f t="shared" si="3"/>
        <v>5.8</v>
      </c>
      <c r="U18">
        <v>3</v>
      </c>
    </row>
    <row r="19" spans="1:21" s="14" customFormat="1" x14ac:dyDescent="0.3">
      <c r="A19" s="12" t="s">
        <v>105</v>
      </c>
      <c r="B19" s="12" t="s">
        <v>106</v>
      </c>
      <c r="C19" s="12" t="s">
        <v>107</v>
      </c>
      <c r="D19" s="12" t="s">
        <v>108</v>
      </c>
      <c r="E19" s="12" t="s">
        <v>109</v>
      </c>
      <c r="F19" s="12" t="s">
        <v>28</v>
      </c>
      <c r="G19" s="12" t="s">
        <v>35</v>
      </c>
      <c r="H19" s="13" t="s">
        <v>29</v>
      </c>
      <c r="I19" s="12" t="s">
        <v>35</v>
      </c>
      <c r="J19" s="13" t="s">
        <v>29</v>
      </c>
      <c r="K19" s="13"/>
      <c r="L19" s="13" t="s">
        <v>29</v>
      </c>
      <c r="M19" s="13" t="s">
        <v>29</v>
      </c>
      <c r="N19" s="12"/>
      <c r="O19" s="12"/>
      <c r="P19" s="13" t="s">
        <v>29</v>
      </c>
      <c r="Q19">
        <f t="shared" si="0"/>
        <v>2.4</v>
      </c>
      <c r="R19" s="9">
        <f t="shared" si="1"/>
        <v>0.5</v>
      </c>
      <c r="S19" s="9">
        <f t="shared" si="2"/>
        <v>3</v>
      </c>
      <c r="T19" s="9">
        <f t="shared" si="3"/>
        <v>5.9</v>
      </c>
      <c r="U19">
        <v>5</v>
      </c>
    </row>
    <row r="20" spans="1:21" x14ac:dyDescent="0.3">
      <c r="A20" s="7" t="s">
        <v>110</v>
      </c>
      <c r="B20" s="7" t="s">
        <v>111</v>
      </c>
      <c r="C20" s="7" t="s">
        <v>112</v>
      </c>
      <c r="D20" s="7" t="s">
        <v>113</v>
      </c>
      <c r="E20" s="7" t="s">
        <v>114</v>
      </c>
      <c r="F20" s="7" t="s">
        <v>56</v>
      </c>
      <c r="G20" s="7" t="s">
        <v>35</v>
      </c>
      <c r="H20" s="8" t="s">
        <v>29</v>
      </c>
      <c r="I20" s="8" t="s">
        <v>29</v>
      </c>
      <c r="J20" s="7" t="s">
        <v>35</v>
      </c>
      <c r="K20" s="8" t="s">
        <v>29</v>
      </c>
      <c r="L20" s="8" t="s">
        <v>29</v>
      </c>
      <c r="M20" s="7" t="s">
        <v>35</v>
      </c>
      <c r="N20" s="7" t="s">
        <v>36</v>
      </c>
      <c r="O20" s="8" t="s">
        <v>29</v>
      </c>
      <c r="P20" s="8" t="s">
        <v>29</v>
      </c>
      <c r="Q20">
        <f t="shared" si="0"/>
        <v>2.1</v>
      </c>
      <c r="R20" s="9">
        <f t="shared" si="1"/>
        <v>0.60000000000000009</v>
      </c>
      <c r="S20" s="9">
        <f t="shared" si="2"/>
        <v>0.6</v>
      </c>
      <c r="T20" s="9">
        <f t="shared" si="3"/>
        <v>3.3000000000000003</v>
      </c>
      <c r="U20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233123032443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hanh</dc:creator>
  <cp:lastModifiedBy>nguyen hanh</cp:lastModifiedBy>
  <dcterms:created xsi:type="dcterms:W3CDTF">2024-07-15T10:28:04Z</dcterms:created>
  <dcterms:modified xsi:type="dcterms:W3CDTF">2024-07-15T10:28:34Z</dcterms:modified>
</cp:coreProperties>
</file>